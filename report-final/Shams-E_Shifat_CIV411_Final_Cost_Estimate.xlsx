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5" showHorizontalScroll="1" showVerticalScroll="1"/>
  </bookViews>
  <sheets>
    <sheet name="Cover Page" sheetId="1" state="visible" r:id="rId1"/>
    <sheet name="Table 1.1 Direct Costs" sheetId="2" state="visible" r:id="rId2"/>
    <sheet name="Table 1.2 Indirect Costs" sheetId="3" state="visible" r:id="rId3"/>
    <sheet name="Table 1.3 Engineering Costs" sheetId="4" state="visible" r:id="rId4"/>
    <sheet name="Table 1.4 Adders" sheetId="5" state="visible" r:id="rId5"/>
    <sheet name="Table 1.5 Total Project Cost" sheetId="6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<sst xmlns="http://schemas.openxmlformats.org/spreadsheetml/2006/main" count="61" uniqueCount="61">
  <si>
    <t xml:space="preserve">Cost Estimate for Wastewater Lift Station and Force Main System for Colebrooke Subdivision</t>
  </si>
  <si>
    <t xml:space="preserve">Prepared By</t>
  </si>
  <si>
    <t xml:space="preserve">Shams E Shifat</t>
  </si>
  <si>
    <t>J01033311</t>
  </si>
  <si>
    <t xml:space="preserve">Department of Civil and Environmental Engineering</t>
  </si>
  <si>
    <t xml:space="preserve">Jackson State University</t>
  </si>
  <si>
    <t xml:space="preserve">Table 1.1 Direct Costs</t>
  </si>
  <si>
    <t xml:space="preserve">Item No.</t>
  </si>
  <si>
    <t>Description</t>
  </si>
  <si>
    <t>Qty</t>
  </si>
  <si>
    <t>Unit</t>
  </si>
  <si>
    <t xml:space="preserve">Unit Cost ($)</t>
  </si>
  <si>
    <t xml:space="preserve">Line Cost ($)</t>
  </si>
  <si>
    <t xml:space="preserve">Sulzer XFP100C VX pumps</t>
  </si>
  <si>
    <t>EA</t>
  </si>
  <si>
    <t xml:space="preserve">Precast concrete wet well (6-ft dia, 18–20 ft depth)</t>
  </si>
  <si>
    <t>LS</t>
  </si>
  <si>
    <t xml:space="preserve">Valve vault and discharge assembly</t>
  </si>
  <si>
    <t xml:space="preserve">Discharge piping system, guide rails, fittings</t>
  </si>
  <si>
    <t xml:space="preserve">Check valve and gate valve (4-in)</t>
  </si>
  <si>
    <t xml:space="preserve">Electrical and control system</t>
  </si>
  <si>
    <t xml:space="preserve">Wet well protective coating</t>
  </si>
  <si>
    <t xml:space="preserve">Site excavation, backfill, grading</t>
  </si>
  <si>
    <t xml:space="preserve">Access pad / gravel surface</t>
  </si>
  <si>
    <t xml:space="preserve">Erosion and sediment control</t>
  </si>
  <si>
    <t xml:space="preserve">Quick-connect bypass assembly</t>
  </si>
  <si>
    <t xml:space="preserve">4-in PVC C900 DR18 force main</t>
  </si>
  <si>
    <t>LF</t>
  </si>
  <si>
    <t xml:space="preserve">Trench bedding, backfill, restoration</t>
  </si>
  <si>
    <t xml:space="preserve">Force main fittings, tracer wire</t>
  </si>
  <si>
    <t xml:space="preserve">Connection to existing manhole</t>
  </si>
  <si>
    <t xml:space="preserve">Traffic control</t>
  </si>
  <si>
    <t xml:space="preserve">Direct Cost Subtotal</t>
  </si>
  <si>
    <t xml:space="preserve">Table 1.2 Indirect Costs</t>
  </si>
  <si>
    <t xml:space="preserve">Site preparation</t>
  </si>
  <si>
    <t xml:space="preserve">Temporary facilities</t>
  </si>
  <si>
    <t xml:space="preserve">Utilities allowance</t>
  </si>
  <si>
    <t xml:space="preserve">Mobilization / demobilization</t>
  </si>
  <si>
    <t xml:space="preserve">Indirect Cost Subtotal</t>
  </si>
  <si>
    <t xml:space="preserve">Table 1.3 Engineering Costs</t>
  </si>
  <si>
    <t>Surveying</t>
  </si>
  <si>
    <t xml:space="preserve">Geotechnical investigation</t>
  </si>
  <si>
    <t xml:space="preserve">Design and consulting fees</t>
  </si>
  <si>
    <t xml:space="preserve">Engineering &amp; Design Subtotal</t>
  </si>
  <si>
    <t xml:space="preserve">Table 1.4 Adders</t>
  </si>
  <si>
    <t xml:space="preserve">Total Direct &amp; Indirect Cost</t>
  </si>
  <si>
    <t xml:space="preserve">= 210062.44 + 28500 =</t>
  </si>
  <si>
    <t>USD</t>
  </si>
  <si>
    <t>Category</t>
  </si>
  <si>
    <t>Basis</t>
  </si>
  <si>
    <t>Rate</t>
  </si>
  <si>
    <t xml:space="preserve">Amount ($)</t>
  </si>
  <si>
    <t xml:space="preserve">Contractor Overhead</t>
  </si>
  <si>
    <t xml:space="preserve">Direct + Indirect</t>
  </si>
  <si>
    <t xml:space="preserve">Contractor Profit</t>
  </si>
  <si>
    <t>Contingency</t>
  </si>
  <si>
    <t xml:space="preserve">Table 1.5 Total Project Cost</t>
  </si>
  <si>
    <t xml:space="preserve">Direct Construction Costs</t>
  </si>
  <si>
    <t xml:space="preserve">Indirect Costs</t>
  </si>
  <si>
    <t xml:space="preserve">Engineering &amp; Design</t>
  </si>
  <si>
    <t xml:space="preserve">Total Project Cost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</si>
</sst>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\$#,##0.00_);[Red](\$#,##0.00)"/>
  </numFmts>
  <fonts count="7">
    <font>
      <sz val="11.000000"/>
      <color theme="1"/>
      <name val="Calibri"/>
      <scheme val="minor"/>
    </font>
    <font>
      <sz val="16.000000"/>
      <color theme="1"/>
      <name val="Times New Roman"/>
    </font>
    <font>
      <sz val="20.000000"/>
      <color theme="1"/>
      <name val="Times New Roman"/>
    </font>
    <font>
      <sz val="14.000000"/>
      <color theme="1"/>
      <name val="Times New Roman"/>
    </font>
    <font>
      <sz val="14.000000"/>
      <color rgb="FF0070C0"/>
      <name val="Times New Roman"/>
    </font>
    <font>
      <sz val="12.000000"/>
      <color theme="1"/>
      <name val="Calibri"/>
      <scheme val="minor"/>
    </font>
    <font>
      <sz val="12.000000"/>
      <name val="Times New Roman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2" borderId="0" numFmtId="9" applyNumberFormat="1" applyFont="0" applyFill="0" applyBorder="0"/>
  </cellStyleXfs>
  <cellXfs count="15">
    <xf fontId="0" fillId="0" borderId="0" numFmtId="0" xfId="0" quotePrefix="0" pivotButton="0"/>
    <xf fontId="1" fillId="0" borderId="0" numFmtId="0" xfId="0" applyFont="1" quotePrefix="0" pivotButton="0"/>
    <xf fontId="2" fillId="0" borderId="0" numFmtId="0" xfId="0" applyFont="1" applyAlignment="1" quotePrefix="0" pivotButton="0">
      <alignment horizontal="center" vertical="center" wrapText="1"/>
    </xf>
    <xf fontId="1" fillId="0" borderId="0" numFmtId="0" xfId="0" applyFont="1" applyAlignment="1" quotePrefix="0" pivotButton="0">
      <alignment horizontal="left"/>
    </xf>
    <xf fontId="3" fillId="0" borderId="0" numFmtId="0" xfId="0" applyFont="1" quotePrefix="0" pivotButton="0"/>
    <xf fontId="4" fillId="0" borderId="0" numFmtId="0" xfId="0" applyFont="1" applyAlignment="1" quotePrefix="0" pivotButton="0">
      <alignment horizontal="center"/>
    </xf>
    <xf fontId="3" fillId="0" borderId="1" numFmtId="0" xfId="0" applyFont="1" applyBorder="1" quotePrefix="0" pivotButton="0"/>
    <xf fontId="3" fillId="0" borderId="2" numFmtId="0" xfId="0" applyFont="1" applyBorder="1" quotePrefix="0" pivotButton="0"/>
    <xf fontId="3" fillId="0" borderId="3" numFmtId="0" xfId="0" applyFont="1" applyBorder="1" quotePrefix="0" pivotButton="0"/>
    <xf fontId="5" fillId="0" borderId="0" numFmtId="0" xfId="0" applyFont="1" applyAlignment="1" quotePrefix="0" pivotButton="0">
      <alignment horizontal="left"/>
    </xf>
    <xf fontId="6" fillId="0" borderId="0" numFmtId="0" xfId="0" applyFont="1" applyAlignment="1" quotePrefix="0" pivotButton="0">
      <alignment horizontal="left"/>
    </xf>
    <xf fontId="6" fillId="0" borderId="0" numFmtId="164" xfId="0" applyNumberFormat="1" applyFont="1" applyAlignment="1" quotePrefix="1" pivotButton="0">
      <alignment horizontal="left"/>
    </xf>
    <xf fontId="6" fillId="0" borderId="0" numFmtId="2" xfId="0" applyNumberFormat="1" applyFont="1" applyAlignment="1" quotePrefix="0" pivotButton="0">
      <alignment horizontal="left"/>
    </xf>
    <xf fontId="3" fillId="0" borderId="0" numFmtId="9" xfId="1" applyNumberFormat="1" applyFont="1" quotePrefix="0" pivotButton="0"/>
    <xf fontId="3" fillId="0" borderId="0" numFmtId="2" xfId="0" applyNumberFormat="1" applyFont="1" quotePrefix="0" pivotButton="0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1432277" cy="1380194"/>
    <xdr:pic>
      <xdr:nvPicPr>
        <xdr:cNvPr id="1164896770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0" y="0"/>
          <a:ext cx="1432277" cy="1380194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2:$F$18">
  <autoFilter ref="$A$2:$F$18"/>
  <tableColumns count="6">
    <tableColumn id="1" name="Item No."/>
    <tableColumn id="2" name="Description"/>
    <tableColumn id="3" name="Qty"/>
    <tableColumn id="4" name="Unit"/>
    <tableColumn id="5" name="Unit Cost ($)"/>
    <tableColumn id="6" name="Line Cost ($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2" ref="$A$2:$F$6">
  <autoFilter ref="$A$2:$F$6"/>
  <tableColumns count="6">
    <tableColumn id="1" name="Item No."/>
    <tableColumn id="2" name="Description"/>
    <tableColumn id="3" name="Qty"/>
    <tableColumn id="4" name="Unit"/>
    <tableColumn id="5" name="Unit Cost ($)"/>
    <tableColumn id="6" name="Line Cost ($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3" ref="$A$2:$F$5">
  <autoFilter ref="$A$2:$F$5"/>
  <tableColumns count="6">
    <tableColumn id="1" name="Item No."/>
    <tableColumn id="2" name="Description"/>
    <tableColumn id="3" name="Qty"/>
    <tableColumn id="4" name="Unit"/>
    <tableColumn id="5" name="Unit Cost ($)"/>
    <tableColumn id="6" name="Line Cost ($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4" ref="$A$5:$D$8">
  <autoFilter ref="$A$5:$D$8"/>
  <tableColumns count="4">
    <tableColumn id="1" name="Category"/>
    <tableColumn id="2" name="Basis"/>
    <tableColumn id="3" name="Rate"/>
    <tableColumn id="4" name="Amount ($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able5" ref="$A$2:$B$9">
  <autoFilter ref="$A$2:$B$9"/>
  <tableColumns count="2">
    <tableColumn id="1" name="Category"/>
    <tableColumn id="2" name="Amount ($)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6384" style="1" width="9.140625"/>
  </cols>
  <sheetData>
    <row r="1" ht="14.25">
      <c r="A1" s="1"/>
      <c r="D1" s="2" t="s">
        <v>0</v>
      </c>
      <c r="E1" s="2"/>
      <c r="F1" s="2"/>
      <c r="G1" s="2"/>
      <c r="H1" s="2"/>
      <c r="I1" s="2"/>
      <c r="J1" s="2"/>
      <c r="K1" s="2"/>
      <c r="L1" s="2"/>
    </row>
    <row r="2" ht="14.25">
      <c r="D2" s="2"/>
      <c r="E2" s="2"/>
      <c r="F2" s="2"/>
      <c r="G2" s="2"/>
      <c r="H2" s="2"/>
      <c r="I2" s="2"/>
      <c r="J2" s="2"/>
      <c r="K2" s="2"/>
      <c r="L2" s="2"/>
    </row>
    <row r="3" ht="14.25">
      <c r="A3" s="1"/>
      <c r="D3" s="2"/>
      <c r="E3" s="2"/>
      <c r="F3" s="2"/>
      <c r="G3" s="2"/>
      <c r="H3" s="2"/>
      <c r="I3" s="2"/>
      <c r="J3" s="2"/>
      <c r="K3" s="2"/>
      <c r="L3" s="2"/>
    </row>
    <row r="4" ht="14.25">
      <c r="A4" s="1"/>
      <c r="D4" s="2"/>
      <c r="E4" s="2"/>
      <c r="F4" s="2"/>
      <c r="G4" s="2"/>
      <c r="H4" s="2"/>
      <c r="I4" s="2"/>
      <c r="J4" s="2"/>
      <c r="K4" s="2"/>
      <c r="L4" s="2"/>
    </row>
    <row r="5" ht="14.25">
      <c r="A5" s="1"/>
      <c r="D5" s="2"/>
      <c r="E5" s="2"/>
      <c r="F5" s="2"/>
      <c r="G5" s="2"/>
      <c r="H5" s="2"/>
      <c r="I5" s="2"/>
      <c r="J5" s="2"/>
      <c r="K5" s="2"/>
      <c r="L5" s="2"/>
    </row>
    <row r="6" ht="14.25">
      <c r="A6" s="1"/>
      <c r="D6" s="2"/>
      <c r="E6" s="2"/>
      <c r="F6" s="2"/>
      <c r="G6" s="2"/>
      <c r="H6" s="2"/>
      <c r="I6" s="2"/>
      <c r="J6" s="2"/>
      <c r="K6" s="2"/>
      <c r="L6" s="2"/>
    </row>
    <row r="7" ht="14.25">
      <c r="A7" s="1"/>
      <c r="D7" s="2"/>
      <c r="E7" s="2"/>
      <c r="F7" s="2"/>
      <c r="G7" s="2"/>
      <c r="H7" s="2"/>
      <c r="I7" s="2"/>
      <c r="J7" s="2"/>
      <c r="K7" s="2"/>
      <c r="L7" s="2"/>
    </row>
    <row r="9" ht="19.5">
      <c r="G9" s="1" t="s">
        <v>1</v>
      </c>
    </row>
    <row r="10" ht="14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ht="19.5">
      <c r="G11" s="1" t="s">
        <v>2</v>
      </c>
    </row>
    <row r="12" ht="19.5">
      <c r="G12" s="1" t="s">
        <v>3</v>
      </c>
    </row>
    <row r="13" ht="19.5">
      <c r="G13" s="1" t="s">
        <v>4</v>
      </c>
    </row>
    <row r="14" ht="19.5">
      <c r="G14" s="1" t="s">
        <v>5</v>
      </c>
      <c r="K14" s="3"/>
    </row>
  </sheetData>
  <mergeCells count="1">
    <mergeCell ref="D1:L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style="4" width="10.8125"/>
    <col bestFit="1" min="2" max="2" style="4" width="44.33203125"/>
    <col min="3" max="4" style="4" width="9.140625"/>
    <col bestFit="1" min="5" max="5" style="4" width="17.9609375"/>
    <col bestFit="1" min="6" max="6" style="4" width="18.171875"/>
    <col min="7" max="16384" style="4" width="9.140625"/>
  </cols>
  <sheetData>
    <row r="1" ht="17.25">
      <c r="A1" s="5" t="s">
        <v>6</v>
      </c>
      <c r="B1" s="5"/>
      <c r="C1" s="5"/>
      <c r="D1" s="5"/>
      <c r="E1" s="5"/>
      <c r="F1" s="5"/>
    </row>
    <row r="2" ht="17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</row>
    <row r="3" ht="17.25">
      <c r="A3" s="4">
        <v>1</v>
      </c>
      <c r="B3" s="4" t="s">
        <v>13</v>
      </c>
      <c r="C3" s="4">
        <v>2</v>
      </c>
      <c r="D3" s="4" t="s">
        <v>14</v>
      </c>
      <c r="E3" s="4">
        <v>6881.2200000000003</v>
      </c>
      <c r="F3" s="4">
        <f>E3*C3</f>
        <v>13762.440000000001</v>
      </c>
      <c r="G3" s="4"/>
    </row>
    <row r="4" ht="17.25">
      <c r="A4" s="4">
        <v>2</v>
      </c>
      <c r="B4" s="4" t="s">
        <v>15</v>
      </c>
      <c r="C4" s="4">
        <v>1</v>
      </c>
      <c r="D4" s="4" t="s">
        <v>16</v>
      </c>
      <c r="E4" s="4">
        <v>55000</v>
      </c>
      <c r="F4" s="4">
        <f>E4*C4</f>
        <v>55000</v>
      </c>
    </row>
    <row r="5" ht="17.25">
      <c r="A5" s="4">
        <v>3</v>
      </c>
      <c r="B5" s="4" t="s">
        <v>17</v>
      </c>
      <c r="C5" s="4">
        <v>1</v>
      </c>
      <c r="D5" s="4" t="s">
        <v>16</v>
      </c>
      <c r="E5" s="4">
        <v>22000</v>
      </c>
      <c r="F5" s="4">
        <f>E5*C5</f>
        <v>22000</v>
      </c>
    </row>
    <row r="6" ht="17.25">
      <c r="A6" s="4">
        <v>4</v>
      </c>
      <c r="B6" s="4" t="s">
        <v>18</v>
      </c>
      <c r="C6" s="4">
        <v>1</v>
      </c>
      <c r="D6" s="4" t="s">
        <v>16</v>
      </c>
      <c r="E6" s="4">
        <v>14000</v>
      </c>
      <c r="F6" s="4">
        <f>E6*C6</f>
        <v>14000</v>
      </c>
    </row>
    <row r="7" ht="17.25">
      <c r="A7" s="4">
        <v>5</v>
      </c>
      <c r="B7" s="4" t="s">
        <v>19</v>
      </c>
      <c r="C7" s="4">
        <v>1</v>
      </c>
      <c r="D7" s="4" t="s">
        <v>16</v>
      </c>
      <c r="E7" s="4">
        <v>6500</v>
      </c>
      <c r="F7" s="4">
        <f>E7*C7</f>
        <v>6500</v>
      </c>
    </row>
    <row r="8" ht="17.25">
      <c r="A8" s="4">
        <v>6</v>
      </c>
      <c r="B8" s="4" t="s">
        <v>20</v>
      </c>
      <c r="C8" s="4">
        <v>1</v>
      </c>
      <c r="D8" s="4" t="s">
        <v>16</v>
      </c>
      <c r="E8" s="4">
        <v>38000</v>
      </c>
      <c r="F8" s="4">
        <f>E8*C8</f>
        <v>38000</v>
      </c>
    </row>
    <row r="9" ht="17.25">
      <c r="A9" s="4">
        <v>7</v>
      </c>
      <c r="B9" s="4" t="s">
        <v>21</v>
      </c>
      <c r="C9" s="4">
        <v>1</v>
      </c>
      <c r="D9" s="4" t="s">
        <v>16</v>
      </c>
      <c r="E9" s="4">
        <v>8000</v>
      </c>
      <c r="F9" s="4">
        <f>E9*C9</f>
        <v>8000</v>
      </c>
    </row>
    <row r="10" ht="17.25">
      <c r="A10" s="4">
        <v>8</v>
      </c>
      <c r="B10" s="4" t="s">
        <v>22</v>
      </c>
      <c r="C10" s="4">
        <v>1</v>
      </c>
      <c r="D10" s="4" t="s">
        <v>16</v>
      </c>
      <c r="E10" s="4">
        <v>22000</v>
      </c>
      <c r="F10" s="4">
        <f>E10*C10</f>
        <v>22000</v>
      </c>
    </row>
    <row r="11" ht="17.25">
      <c r="A11" s="4">
        <v>9</v>
      </c>
      <c r="B11" s="4" t="s">
        <v>23</v>
      </c>
      <c r="C11" s="4">
        <v>1</v>
      </c>
      <c r="D11" s="4" t="s">
        <v>16</v>
      </c>
      <c r="E11" s="4">
        <v>8000</v>
      </c>
      <c r="F11" s="4">
        <f>E11*C11</f>
        <v>8000</v>
      </c>
    </row>
    <row r="12" ht="17.25">
      <c r="A12" s="4">
        <v>10</v>
      </c>
      <c r="B12" s="4" t="s">
        <v>24</v>
      </c>
      <c r="C12" s="4">
        <v>1</v>
      </c>
      <c r="D12" s="4" t="s">
        <v>16</v>
      </c>
      <c r="E12" s="4">
        <v>4000</v>
      </c>
      <c r="F12" s="4">
        <f>E12*C12</f>
        <v>4000</v>
      </c>
    </row>
    <row r="13" ht="17.25">
      <c r="A13" s="4">
        <v>11</v>
      </c>
      <c r="B13" s="4" t="s">
        <v>25</v>
      </c>
      <c r="C13" s="4">
        <v>1</v>
      </c>
      <c r="D13" s="4" t="s">
        <v>16</v>
      </c>
      <c r="E13" s="4">
        <v>5500</v>
      </c>
      <c r="F13" s="4">
        <f>E13*C13</f>
        <v>5500</v>
      </c>
    </row>
    <row r="14" ht="17.25">
      <c r="A14" s="4">
        <v>12</v>
      </c>
      <c r="B14" s="4" t="s">
        <v>26</v>
      </c>
      <c r="C14" s="4">
        <v>80</v>
      </c>
      <c r="D14" s="4" t="s">
        <v>27</v>
      </c>
      <c r="E14" s="4">
        <v>40</v>
      </c>
      <c r="F14" s="4">
        <f>E14*C14</f>
        <v>3200</v>
      </c>
    </row>
    <row r="15" ht="17.25">
      <c r="A15" s="4">
        <v>13</v>
      </c>
      <c r="B15" s="4" t="s">
        <v>28</v>
      </c>
      <c r="C15" s="4">
        <v>80</v>
      </c>
      <c r="D15" s="4" t="s">
        <v>27</v>
      </c>
      <c r="E15" s="4">
        <v>20</v>
      </c>
      <c r="F15" s="4">
        <f>E15*C15</f>
        <v>1600</v>
      </c>
    </row>
    <row r="16" ht="17.25">
      <c r="A16" s="4">
        <v>14</v>
      </c>
      <c r="B16" s="4" t="s">
        <v>29</v>
      </c>
      <c r="C16" s="4">
        <v>1</v>
      </c>
      <c r="D16" s="4" t="s">
        <v>16</v>
      </c>
      <c r="E16" s="4">
        <v>3500</v>
      </c>
      <c r="F16" s="4">
        <f>E16*C16</f>
        <v>3500</v>
      </c>
    </row>
    <row r="17" ht="17.25">
      <c r="A17" s="4">
        <v>15</v>
      </c>
      <c r="B17" s="4" t="s">
        <v>30</v>
      </c>
      <c r="C17" s="4">
        <v>1</v>
      </c>
      <c r="D17" s="4" t="s">
        <v>16</v>
      </c>
      <c r="E17" s="4">
        <v>2500</v>
      </c>
      <c r="F17" s="4">
        <f>E17*C17</f>
        <v>2500</v>
      </c>
    </row>
    <row r="18" ht="17.25">
      <c r="A18" s="4">
        <v>16</v>
      </c>
      <c r="B18" s="4" t="s">
        <v>31</v>
      </c>
      <c r="C18" s="4">
        <v>1</v>
      </c>
      <c r="D18" s="4" t="s">
        <v>16</v>
      </c>
      <c r="E18" s="4">
        <v>2500</v>
      </c>
      <c r="F18" s="4">
        <f>E18*C18</f>
        <v>2500</v>
      </c>
    </row>
    <row r="19" ht="17.25">
      <c r="A19" s="6"/>
      <c r="B19" s="7" t="s">
        <v>32</v>
      </c>
      <c r="C19" s="7"/>
      <c r="D19" s="7"/>
      <c r="E19" s="7"/>
      <c r="F19" s="8">
        <f>SUM(F3:F18)</f>
        <v>210062.44</v>
      </c>
      <c r="H19" s="4"/>
    </row>
    <row r="22" ht="14.25">
      <c r="E22" s="4"/>
    </row>
  </sheetData>
  <mergeCells count="1">
    <mergeCell ref="A1:F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0.8125"/>
    <col bestFit="1" min="2" max="2" width="32.61328125"/>
    <col bestFit="1" min="5" max="5" width="17.9609375"/>
    <col bestFit="1" min="6" max="6" width="18.171875"/>
  </cols>
  <sheetData>
    <row r="1" ht="17.25">
      <c r="A1" s="5" t="s">
        <v>33</v>
      </c>
      <c r="B1" s="5"/>
      <c r="C1" s="5"/>
      <c r="D1" s="5"/>
      <c r="E1" s="5"/>
      <c r="F1" s="5"/>
    </row>
    <row r="2" ht="17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</row>
    <row r="3" ht="17.25">
      <c r="A3" s="4">
        <v>17</v>
      </c>
      <c r="B3" s="4" t="s">
        <v>34</v>
      </c>
      <c r="C3" s="4">
        <v>1</v>
      </c>
      <c r="D3" s="4" t="s">
        <v>16</v>
      </c>
      <c r="E3" s="4">
        <v>6000</v>
      </c>
      <c r="F3" s="4">
        <f>Table2[[#This Row],[Unit Cost ($)]]*Table2[[#This Row],[Qty]]</f>
        <v>6000</v>
      </c>
    </row>
    <row r="4" ht="17.25">
      <c r="A4" s="4">
        <v>18</v>
      </c>
      <c r="B4" s="4" t="s">
        <v>35</v>
      </c>
      <c r="C4" s="4">
        <v>1</v>
      </c>
      <c r="D4" s="4" t="s">
        <v>16</v>
      </c>
      <c r="E4" s="4">
        <v>4000</v>
      </c>
      <c r="F4" s="4">
        <f>Table2[[#This Row],[Unit Cost ($)]]*Table2[[#This Row],[Qty]]</f>
        <v>4000</v>
      </c>
    </row>
    <row r="5" ht="17.25">
      <c r="A5" s="4">
        <v>19</v>
      </c>
      <c r="B5" s="4" t="s">
        <v>36</v>
      </c>
      <c r="C5" s="4">
        <v>1</v>
      </c>
      <c r="D5" s="4" t="s">
        <v>16</v>
      </c>
      <c r="E5" s="4">
        <v>3500</v>
      </c>
      <c r="F5" s="4">
        <f>Table2[[#This Row],[Unit Cost ($)]]*Table2[[#This Row],[Qty]]</f>
        <v>3500</v>
      </c>
    </row>
    <row r="6" ht="17.25">
      <c r="A6" s="4">
        <v>20</v>
      </c>
      <c r="B6" s="4" t="s">
        <v>37</v>
      </c>
      <c r="C6" s="4">
        <v>1</v>
      </c>
      <c r="D6" s="4" t="s">
        <v>16</v>
      </c>
      <c r="E6" s="4">
        <v>15000</v>
      </c>
      <c r="F6" s="4">
        <f>Table2[[#This Row],[Unit Cost ($)]]*Table2[[#This Row],[Qty]]</f>
        <v>15000</v>
      </c>
    </row>
    <row r="7" ht="17.25">
      <c r="A7" s="6"/>
      <c r="B7" s="7" t="s">
        <v>38</v>
      </c>
      <c r="C7" s="7"/>
      <c r="D7" s="7"/>
      <c r="E7" s="7"/>
      <c r="F7" s="8">
        <f>SUM(Table2[Line Cost ($)])</f>
        <v>28500</v>
      </c>
    </row>
  </sheetData>
  <mergeCells count="1">
    <mergeCell ref="A1:F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0.8125"/>
    <col bestFit="1" min="2" max="2" width="34.23046875"/>
    <col bestFit="1" min="5" max="5" width="17.9609375"/>
    <col bestFit="1" min="6" max="6" width="18.171875"/>
  </cols>
  <sheetData>
    <row r="1" ht="17.25">
      <c r="A1" s="5" t="s">
        <v>39</v>
      </c>
      <c r="B1" s="5"/>
      <c r="C1" s="5"/>
      <c r="D1" s="5"/>
      <c r="E1" s="5"/>
      <c r="F1" s="5"/>
    </row>
    <row r="2" ht="17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</row>
    <row r="3" ht="17.25">
      <c r="A3" s="4">
        <v>21</v>
      </c>
      <c r="B3" s="4" t="s">
        <v>40</v>
      </c>
      <c r="C3" s="4">
        <v>1</v>
      </c>
      <c r="D3" s="4" t="s">
        <v>16</v>
      </c>
      <c r="E3" s="4">
        <v>4000</v>
      </c>
      <c r="F3" s="4">
        <f>Table3[[#This Row],[Unit Cost ($)]]*Table3[[#This Row],[Qty]]</f>
        <v>4000</v>
      </c>
    </row>
    <row r="4" ht="17.25">
      <c r="A4" s="4">
        <v>22</v>
      </c>
      <c r="B4" s="4" t="s">
        <v>41</v>
      </c>
      <c r="C4" s="4">
        <v>1</v>
      </c>
      <c r="D4" s="4" t="s">
        <v>16</v>
      </c>
      <c r="E4" s="4">
        <v>6000</v>
      </c>
      <c r="F4" s="4">
        <f>Table3[[#This Row],[Unit Cost ($)]]*Table3[[#This Row],[Qty]]</f>
        <v>6000</v>
      </c>
    </row>
    <row r="5" ht="17.25">
      <c r="A5" s="4">
        <v>23</v>
      </c>
      <c r="B5" s="4" t="s">
        <v>42</v>
      </c>
      <c r="C5" s="4">
        <v>1</v>
      </c>
      <c r="D5" s="4" t="s">
        <v>16</v>
      </c>
      <c r="E5" s="4">
        <v>18000</v>
      </c>
      <c r="F5" s="4">
        <f>Table3[[#This Row],[Unit Cost ($)]]*Table3[[#This Row],[Qty]]</f>
        <v>18000</v>
      </c>
    </row>
    <row r="6" ht="17.25">
      <c r="A6" s="6"/>
      <c r="B6" s="7" t="s">
        <v>43</v>
      </c>
      <c r="C6" s="7"/>
      <c r="D6" s="7"/>
      <c r="E6" s="7"/>
      <c r="F6" s="8">
        <f>SUM(Table3[Line Cost ($)])</f>
        <v>28000</v>
      </c>
    </row>
  </sheetData>
  <mergeCells count="1">
    <mergeCell ref="A1:F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31.00390625"/>
    <col customWidth="1" min="2" max="2" width="24.140625"/>
    <col bestFit="1" customWidth="1" min="3" max="3" width="15.1015625"/>
    <col bestFit="1" min="4" max="4" width="16.48046875"/>
  </cols>
  <sheetData>
    <row r="1" ht="17.25">
      <c r="A1" s="5" t="s">
        <v>44</v>
      </c>
      <c r="B1" s="5"/>
      <c r="C1" s="5"/>
      <c r="D1" s="5"/>
    </row>
    <row r="2" ht="17.25">
      <c r="A2" s="5"/>
      <c r="B2" s="5"/>
      <c r="C2" s="5"/>
      <c r="D2" s="5"/>
    </row>
    <row r="3" s="9" customFormat="1" ht="15">
      <c r="A3" s="10" t="s">
        <v>45</v>
      </c>
      <c r="B3" s="11" t="s">
        <v>46</v>
      </c>
      <c r="C3" s="12">
        <f>210062.44+28500</f>
        <v>238562.44</v>
      </c>
      <c r="D3" s="10" t="s">
        <v>47</v>
      </c>
    </row>
    <row r="4" ht="17.25">
      <c r="A4" s="5"/>
      <c r="B4" s="5"/>
      <c r="C4" s="5"/>
      <c r="D4" s="5"/>
    </row>
    <row r="5" ht="17.25">
      <c r="A5" s="4" t="s">
        <v>48</v>
      </c>
      <c r="B5" s="4" t="s">
        <v>49</v>
      </c>
      <c r="C5" s="4" t="s">
        <v>50</v>
      </c>
      <c r="D5" s="4" t="s">
        <v>51</v>
      </c>
    </row>
    <row r="6" ht="17.25">
      <c r="A6" s="4" t="s">
        <v>52</v>
      </c>
      <c r="B6" s="4" t="s">
        <v>53</v>
      </c>
      <c r="C6" s="13">
        <v>0.070000000000000007</v>
      </c>
      <c r="D6" s="14">
        <f>Table4[[#This Row],[Rate]]*$C$3</f>
        <v>16699.370800000001</v>
      </c>
    </row>
    <row r="7" ht="17.25">
      <c r="A7" s="4" t="s">
        <v>54</v>
      </c>
      <c r="B7" s="4" t="s">
        <v>53</v>
      </c>
      <c r="C7" s="13">
        <v>0.070000000000000007</v>
      </c>
      <c r="D7" s="14">
        <f>Table4[[#This Row],[Rate]]*$C$3</f>
        <v>16699.370800000001</v>
      </c>
    </row>
    <row r="8" ht="17.25">
      <c r="A8" s="4" t="s">
        <v>55</v>
      </c>
      <c r="B8" s="4" t="s">
        <v>53</v>
      </c>
      <c r="C8" s="13">
        <v>0.10000000000000001</v>
      </c>
      <c r="D8" s="14">
        <f>Table4[[#This Row],[Rate]]*$C$3</f>
        <v>23856.244000000002</v>
      </c>
    </row>
  </sheetData>
  <mergeCells count="1">
    <mergeCell ref="A1:D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28.421875"/>
    <col bestFit="1" min="2" max="2" width="16.23046875"/>
  </cols>
  <sheetData>
    <row r="1" ht="17.25">
      <c r="A1" s="5" t="s">
        <v>56</v>
      </c>
      <c r="B1" s="5"/>
    </row>
    <row r="2" ht="17.25">
      <c r="A2" s="4" t="s">
        <v>48</v>
      </c>
      <c r="B2" s="4" t="s">
        <v>51</v>
      </c>
    </row>
    <row r="3" ht="17.25">
      <c r="A3" s="4" t="s">
        <v>57</v>
      </c>
      <c r="B3" s="14">
        <v>210062.44</v>
      </c>
    </row>
    <row r="4" ht="17.25">
      <c r="A4" s="4" t="s">
        <v>58</v>
      </c>
      <c r="B4" s="14">
        <v>28500</v>
      </c>
    </row>
    <row r="5" ht="17.25">
      <c r="A5" s="4" t="s">
        <v>59</v>
      </c>
      <c r="B5" s="14">
        <v>28000</v>
      </c>
    </row>
    <row r="6" ht="17.25">
      <c r="A6" s="4" t="s">
        <v>52</v>
      </c>
      <c r="B6" s="14">
        <v>16699.370800000001</v>
      </c>
    </row>
    <row r="7" ht="17.25">
      <c r="A7" s="4" t="s">
        <v>54</v>
      </c>
      <c r="B7" s="14">
        <v>16699.370800000001</v>
      </c>
    </row>
    <row r="8" ht="17.25">
      <c r="A8" s="4" t="s">
        <v>55</v>
      </c>
      <c r="B8" s="14">
        <v>23856.244000000002</v>
      </c>
    </row>
    <row r="9" ht="17.25">
      <c r="A9" s="4" t="s">
        <v>60</v>
      </c>
      <c r="B9" s="14">
        <f>SUM(B3:B8)</f>
        <v>323817.42559999996</v>
      </c>
    </row>
  </sheetData>
  <mergeCells count="1">
    <mergeCell ref="A1:B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2026-03-28T16:08:34Z</dcterms:created>
  <dcterms:modified xsi:type="dcterms:W3CDTF">2026-03-28T17:45:41Z</dcterms:modified>
</cp:coreProperties>
</file>